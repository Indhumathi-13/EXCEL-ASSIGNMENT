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ravindan\OneDrive\Desktop\assignment\"/>
    </mc:Choice>
  </mc:AlternateContent>
  <xr:revisionPtr revIDLastSave="0" documentId="8_{6137DC41-3CA5-4823-B850-305F1789A7C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 Dataset" sheetId="2" r:id="rId1"/>
    <sheet name="Assignment 2 Data Cleaning" sheetId="3" r:id="rId2"/>
  </sheets>
  <definedNames>
    <definedName name="ExternalData_1" localSheetId="1" hidden="1">'Assignment 2 Data Cleaning'!$A$2:$I$33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3" l="1"/>
  <c r="I15" i="3"/>
  <c r="I14" i="3"/>
  <c r="I7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0DA107-7C3B-48BB-98AD-5C581041581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<sst xmlns="http://schemas.openxmlformats.org/spreadsheetml/2006/main" count="268" uniqueCount="115">
  <si>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</si>
  <si>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</si>
  <si>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</si>
  <si>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</si>
  <si>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</si>
  <si>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</si>
  <si>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</si>
  <si>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</si>
  <si>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</si>
  <si>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</si>
  <si>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</si>
  <si>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</si>
  <si>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</si>
  <si>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</si>
  <si>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</si>
  <si>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</si>
  <si>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</si>
  <si>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</si>
  <si>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</si>
  <si>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</si>
  <si>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</si>
  <si>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</si>
  <si>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</si>
  <si>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</si>
  <si>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</si>
  <si>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</si>
  <si>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</si>
  <si>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</si>
  <si>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</si>
  <si>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</si>
  <si>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</si>
  <si>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</si>
  <si>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</si>
  <si>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</si>
  <si>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</si>
  <si>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</si>
  <si>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</si>
  <si>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</si>
  <si>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</si>
  <si>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</si>
  <si>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</si>
  <si>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</si>
  <si>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</si>
  <si>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</si>
  <si>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</si>
  <si>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</si>
  <si>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</si>
  <si>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</si>
  <si>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</si>
  <si>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</si>
  <si>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</si>
  <si>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</si>
  <si>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</si>
  <si>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</si>
  <si>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</si>
  <si>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</si>
  <si>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</si>
  <si>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</si>
  <si>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</si>
  <si>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</si>
  <si>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</si>
  <si>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</si>
  <si>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</si>
  <si>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</si>
  <si>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</si>
  <si>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</si>
  <si>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</si>
  <si>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</si>
  <si>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</si>
  <si>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</si>
  <si>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</si>
  <si>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</si>
  <si>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</si>
  <si>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</si>
  <si>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</si>
  <si>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</si>
  <si>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</si>
  <si>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</si>
  <si>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</si>
  <si>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</si>
  <si>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</si>
  <si>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</si>
  <si>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</si>
  <si>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</si>
  <si>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</si>
  <si>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</si>
  <si>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</si>
  <si>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</si>
  <si>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</si>
  <si>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</si>
  <si>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</si>
  <si>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</si>
  <si>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</si>
  <si>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</si>
  <si>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</si>
  <si>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</si>
  <si>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</si>
  <si>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</si>
  <si>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</si>
  <si>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</si>
  <si>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</si>
  <si>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</si>
  <si>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</si>
  <si>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</si>
  <si>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</si>
  <si>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</si>
  <si>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</si>
  <si>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</si>
  <si>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</si>
  <si>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</si>
  <si>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</si>
  <si>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</si>
  <si>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Product Brand</t>
  </si>
  <si>
    <t>Impute Price</t>
  </si>
  <si>
    <t>ASSIGNMENT 2- DATA CLEANING AND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</si>
</sst>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9" formatCode="[$-409]dd\-mmm\-yy;@"/>
    <numFmt numFmtId="170" formatCode="&quot;$&quot;#,##0.00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169" fontId="5" fillId="0" borderId="5" xfId="0" applyNumberFormat="1" applyFont="1" applyBorder="1" applyAlignment="1">
      <alignment horizontal="left"/>
    </xf>
    <xf numFmtId="0" fontId="5" fillId="0" borderId="1" xfId="0" applyNumberFormat="1" applyFont="1" applyBorder="1" applyAlignment="1">
      <alignment horizontal="left"/>
    </xf>
    <xf numFmtId="170" fontId="5" fillId="0" borderId="1" xfId="0" applyNumberFormat="1" applyFont="1" applyBorder="1" applyAlignment="1">
      <alignment horizontal="left"/>
    </xf>
    <xf numFmtId="0" fontId="5" fillId="0" borderId="6" xfId="0" applyNumberFormat="1" applyFont="1" applyBorder="1" applyAlignment="1">
      <alignment horizontal="left"/>
    </xf>
    <xf numFmtId="0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69" fontId="6" fillId="4" borderId="0" xfId="0" applyNumberFormat="1" applyFont="1" applyFill="1" applyAlignment="1">
      <alignment horizontal="center"/>
    </xf>
    <xf numFmtId="169" fontId="5" fillId="0" borderId="0" xfId="0" applyNumberFormat="1" applyFont="1"/>
    <xf numFmtId="170" fontId="5" fillId="0" borderId="0" xfId="0" applyNumberFormat="1" applyFont="1"/>
    <xf numFmtId="169" fontId="5" fillId="0" borderId="2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170" fontId="5" fillId="0" borderId="3" xfId="0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9" fontId="5" fillId="0" borderId="7" xfId="0" applyNumberFormat="1" applyFont="1" applyBorder="1" applyAlignment="1">
      <alignment horizontal="left"/>
    </xf>
    <xf numFmtId="0" fontId="5" fillId="0" borderId="8" xfId="0" applyNumberFormat="1" applyFont="1" applyBorder="1" applyAlignment="1">
      <alignment horizontal="center"/>
    </xf>
    <xf numFmtId="0" fontId="5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170" fontId="5" fillId="0" borderId="8" xfId="0" applyNumberFormat="1" applyFont="1" applyBorder="1" applyAlignment="1">
      <alignment horizontal="left"/>
    </xf>
    <xf numFmtId="0" fontId="5" fillId="0" borderId="9" xfId="0" applyNumberFormat="1" applyFont="1" applyBorder="1" applyAlignment="1">
      <alignment horizontal="left"/>
    </xf>
  </cellXfs>
  <cellStyles count="1">
    <cellStyle name="Normal" xfId="0" builtinId="0"/>
  </cellStyles>
  <dxfs count="40"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170" formatCode="&quot;$&quot;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169" formatCode="[$-409]dd\-mmm\-yy;@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left" vertical="bottom" textRotation="0" wrapText="0" indent="0" justifyLastLine="0" shrinkToFit="0" readingOrder="0"/>
    </dxf>
    <dxf>
      <fill>
        <patternFill>
          <bgColor theme="7" tint="0.599963377788628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firstColumnStripe" dxfId="33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037CA4-8B40-4D41-AB68-7E72DD8C0076}" autoFormatId="16" applyNumberFormats="0" applyBorderFormats="0" applyFontFormats="0" applyPatternFormats="0" applyAlignmentFormats="0" applyWidthHeightFormats="0">
  <queryTableRefresh nextId="12">
    <queryTableFields count="9">
      <queryTableField id="1" name="Product ID" tableColumnId="1"/>
      <queryTableField id="7" dataBound="0" tableColumnId="7"/>
      <queryTableField id="2" name="Product Name" tableColumnId="2"/>
      <queryTableField id="3" name="Brand Name" tableColumnId="3"/>
      <queryTableField id="8" dataBound="0" tableColumnId="9"/>
      <queryTableField id="4" dataBound="0" tableColumnId="4"/>
      <queryTableField id="9" dataBound="0" tableColumnId="11"/>
      <queryTableField id="5" name="Quantity" tableColumnId="5"/>
      <queryTableField id="6" name="Category" tableColumnId="6"/>
    </queryTableFields>
    <queryTableDeletedFields count="1">
      <deletedField name="Price ($)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B1AB0-FF23-4405-AE69-939406BFDF4E}" name="Table1" displayName="Table1" ref="A1:F35" totalsRowShown="0" headerRowDxfId="15" dataDxfId="16">
  <autoFilter ref="A1:F35" xr:uid="{110B1AB0-FF23-4405-AE69-939406BFDF4E}"/>
  <tableColumns count="6">
    <tableColumn id="1" xr3:uid="{4B9C9A7A-B7A1-4032-AAA3-A3765EE8F8E2}" name="Product ID" dataDxfId="22"/>
    <tableColumn id="2" xr3:uid="{DC44FF40-0902-4BE5-9348-A2D25E19F2E8}" name="Product Name" dataDxfId="21"/>
    <tableColumn id="3" xr3:uid="{7C71169B-E974-40E9-A36B-0071FB9F7F06}" name="Brand Name" dataDxfId="20"/>
    <tableColumn id="4" xr3:uid="{149A1E2D-1229-4CED-AED6-C11EA14AE919}" name="Price ($)" dataDxfId="19"/>
    <tableColumn id="5" xr3:uid="{B3BD8683-BF1A-47BD-9684-4E94AA3F5DB5}" name="Quantity" dataDxfId="18"/>
    <tableColumn id="6" xr3:uid="{C21CAF42-A0F0-4674-9F19-8EBED7BAD891}" name="Category" dataDxfId="17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9EEDC1-00B3-4A55-BBAF-B59D875D8DFB}" name="Table1_1" displayName="Table1_1" ref="A2:I33" tableType="queryTable" totalsRowShown="0" headerRowDxfId="0" dataDxfId="13" headerRowBorderDxfId="11" tableBorderDxfId="12" totalsRowBorderDxfId="10">
  <autoFilter ref="A2:I33" xr:uid="{B99EEDC1-00B3-4A55-BBAF-B59D875D8DFB}"/>
  <tableColumns count="9">
    <tableColumn id="1" xr3:uid="{F43B7D2C-B6F7-431F-8F76-6D03BBD41E71}" uniqueName="1" name="Manufacturing Date" queryTableFieldId="1" dataDxfId="9"/>
    <tableColumn id="7" xr3:uid="{F164EAA8-7705-4262-B2E2-5D5C9973D090}" uniqueName="7" name="Country Code" queryTableFieldId="7" dataDxfId="8"/>
    <tableColumn id="2" xr3:uid="{CFE8F090-CDD9-466A-B24C-7451649DDA03}" uniqueName="2" name="Product Name" queryTableFieldId="2" dataDxfId="7"/>
    <tableColumn id="3" xr3:uid="{4011024C-967D-44AE-AD38-221291C44044}" uniqueName="3" name="Brand Name" queryTableFieldId="3" dataDxfId="6"/>
    <tableColumn id="9" xr3:uid="{A21C2635-4AD7-4ECF-84C2-7C67D6EF5342}" uniqueName="9" name="Product Brand" queryTableFieldId="8" dataDxfId="5">
      <calculatedColumnFormula>CONCATENATE(Table1_1[[#This Row],[Product Name]],", ",Table1_1[[#This Row],[Brand Name]])</calculatedColumnFormula>
    </tableColumn>
    <tableColumn id="4" xr3:uid="{70244345-E927-468B-AE67-E597C245D9C2}" uniqueName="4" name="Price ($)" queryTableFieldId="4" dataDxfId="4"/>
    <tableColumn id="11" xr3:uid="{D52E6520-097E-42DE-AB46-AE00182AA65B}" uniqueName="11" name="Impute Price" queryTableFieldId="9" dataDxfId="3">
      <calculatedColumnFormula>IF(ISBLANK(Table1_1[[#This Row],[Price ($)]]),MEDIAN(Table1_1[Price ($)]),Table1_1[[#This Row],[Price ($)]])</calculatedColumnFormula>
    </tableColumn>
    <tableColumn id="5" xr3:uid="{A423EDCB-DE7D-4181-8793-64043CA98F38}" uniqueName="5" name="Quantity" queryTableFieldId="5" dataDxfId="2"/>
    <tableColumn id="6" xr3:uid="{762F88BF-6D20-4BA8-89EF-83540DB7DB50}" uniqueName="6" name="Category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P1000"/>
  <sheetViews>
    <sheetView topLeftCell="A12" workbookViewId="0">
      <selection activeCell="B32" sqref="B32"/>
    </sheetView>
  </sheetViews>
  <sheetFormatPr defaultColWidth="12.5703125" defaultRowHeight="15" customHeight="1"/>
  <cols>
    <col min="1" max="1" width="12.5703125" customWidth="1"/>
    <col min="2" max="2" width="16" customWidth="1"/>
    <col min="3" max="3" width="14.42578125" customWidth="1"/>
    <col min="4" max="6" width="12.5703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D147-2219-4485-BFC8-928B932275E8}">
  <sheetPr>
    <tabColor theme="6"/>
  </sheetPr>
  <dimension ref="A1:L36"/>
  <sheetViews>
    <sheetView tabSelected="1" zoomScaleNormal="100" workbookViewId="0">
      <selection activeCell="A2" sqref="A2"/>
    </sheetView>
  </sheetViews>
  <sheetFormatPr defaultRowHeight="14.25"/>
  <cols>
    <col min="1" max="1" width="18" style="16" bestFit="1" customWidth="1"/>
    <col min="2" max="2" width="17.42578125" style="6" bestFit="1" customWidth="1"/>
    <col min="3" max="3" width="17.7109375" style="6" bestFit="1" customWidth="1"/>
    <col min="4" max="4" width="15.85546875" style="6" bestFit="1" customWidth="1"/>
    <col min="5" max="5" width="25" style="6" bestFit="1" customWidth="1"/>
    <col min="6" max="6" width="15" style="13" bestFit="1" customWidth="1"/>
    <col min="7" max="7" width="16.5703125" style="17" bestFit="1" customWidth="1"/>
    <col min="8" max="8" width="12.140625" style="6" bestFit="1" customWidth="1"/>
    <col min="9" max="9" width="13.42578125" style="6" bestFit="1" customWidth="1"/>
    <col min="10" max="10" width="9.140625" style="6"/>
    <col min="11" max="11" width="14.42578125" style="6" bestFit="1" customWidth="1"/>
    <col min="12" max="12" width="2.28515625" style="6" bestFit="1" customWidth="1"/>
    <col min="13" max="16384" width="9.140625" style="6"/>
  </cols>
  <sheetData>
    <row r="1" spans="1:12" ht="17.25" customHeight="1">
      <c r="A1" s="15" t="s">
        <v>114</v>
      </c>
      <c r="B1" s="15"/>
      <c r="C1" s="15"/>
      <c r="D1" s="15"/>
      <c r="E1" s="15"/>
      <c r="F1" s="15"/>
      <c r="G1" s="15"/>
      <c r="H1" s="15"/>
      <c r="I1" s="15"/>
    </row>
    <row r="2" spans="1:12" s="20" customFormat="1" ht="30">
      <c r="A2" s="18" t="s">
        <v>110</v>
      </c>
      <c r="B2" s="19" t="s">
        <v>111</v>
      </c>
      <c r="C2" s="19" t="s">
        <v>1</v>
      </c>
      <c r="D2" s="19" t="s">
        <v>2</v>
      </c>
      <c r="E2" s="19" t="s">
        <v>112</v>
      </c>
      <c r="F2" s="19" t="s">
        <v>3</v>
      </c>
      <c r="G2" s="21" t="s">
        <v>113</v>
      </c>
      <c r="H2" s="19" t="s">
        <v>4</v>
      </c>
      <c r="I2" s="22" t="s">
        <v>5</v>
      </c>
    </row>
    <row r="3" spans="1:12">
      <c r="A3" s="8">
        <v>46050</v>
      </c>
      <c r="B3" s="12" t="s">
        <v>98</v>
      </c>
      <c r="C3" s="9" t="s">
        <v>42</v>
      </c>
      <c r="D3" s="9" t="s">
        <v>8</v>
      </c>
      <c r="E3" s="9" t="str">
        <f>CONCATENATE(Table1_1[[#This Row],[Product Name]],", ",Table1_1[[#This Row],[Brand Name]])</f>
        <v>Laptop, Dell</v>
      </c>
      <c r="F3" s="14">
        <v>1000</v>
      </c>
      <c r="G3" s="10">
        <f>IF(ISBLANK(Table1_1[[#This Row],[Price ($)]]),MEDIAN(Table1_1[Price ($)]),Table1_1[[#This Row],[Price ($)]])</f>
        <v>1000</v>
      </c>
      <c r="H3" s="14">
        <v>30</v>
      </c>
      <c r="I3" s="11" t="s">
        <v>9</v>
      </c>
    </row>
    <row r="4" spans="1:12">
      <c r="A4" s="8">
        <v>46068</v>
      </c>
      <c r="B4" s="12" t="s">
        <v>98</v>
      </c>
      <c r="C4" s="9" t="s">
        <v>11</v>
      </c>
      <c r="D4" s="9" t="s">
        <v>12</v>
      </c>
      <c r="E4" s="9" t="str">
        <f>CONCATENATE(Table1_1[[#This Row],[Product Name]],", ",Table1_1[[#This Row],[Brand Name]])</f>
        <v>Sneakers, Nike</v>
      </c>
      <c r="F4" s="14">
        <v>80</v>
      </c>
      <c r="G4" s="10">
        <f>IF(ISBLANK(Table1_1[[#This Row],[Price ($)]]),MEDIAN(Table1_1[Price ($)]),Table1_1[[#This Row],[Price ($)]])</f>
        <v>80</v>
      </c>
      <c r="H4" s="14">
        <v>15</v>
      </c>
      <c r="I4" s="11" t="s">
        <v>13</v>
      </c>
      <c r="K4" s="7"/>
      <c r="L4" s="7"/>
    </row>
    <row r="5" spans="1:12">
      <c r="A5" s="8">
        <v>46084</v>
      </c>
      <c r="B5" s="12" t="s">
        <v>98</v>
      </c>
      <c r="C5" s="9" t="s">
        <v>15</v>
      </c>
      <c r="D5" s="9" t="s">
        <v>16</v>
      </c>
      <c r="E5" s="9" t="str">
        <f>CONCATENATE(Table1_1[[#This Row],[Product Name]],", ",Table1_1[[#This Row],[Brand Name]])</f>
        <v>Coffee Maker, Keurig</v>
      </c>
      <c r="F5" s="14">
        <v>130</v>
      </c>
      <c r="G5" s="10">
        <f>IF(ISBLANK(Table1_1[[#This Row],[Price ($)]]),MEDIAN(Table1_1[Price ($)]),Table1_1[[#This Row],[Price ($)]])</f>
        <v>130</v>
      </c>
      <c r="H5" s="14">
        <v>40</v>
      </c>
      <c r="I5" s="11" t="s">
        <v>17</v>
      </c>
    </row>
    <row r="6" spans="1:12">
      <c r="A6" s="8">
        <v>46123</v>
      </c>
      <c r="B6" s="12" t="s">
        <v>98</v>
      </c>
      <c r="C6" s="9" t="s">
        <v>77</v>
      </c>
      <c r="D6" s="9" t="s">
        <v>20</v>
      </c>
      <c r="E6" s="9" t="str">
        <f>CONCATENATE(Table1_1[[#This Row],[Product Name]],", ",Table1_1[[#This Row],[Brand Name]])</f>
        <v>Smartphone, Samsung</v>
      </c>
      <c r="F6" s="14">
        <v>900</v>
      </c>
      <c r="G6" s="10">
        <f>IF(ISBLANK(Table1_1[[#This Row],[Price ($)]]),MEDIAN(Table1_1[Price ($)]),Table1_1[[#This Row],[Price ($)]])</f>
        <v>900</v>
      </c>
      <c r="H6" s="14">
        <v>25</v>
      </c>
      <c r="I6" s="11" t="s">
        <v>9</v>
      </c>
    </row>
    <row r="7" spans="1:12">
      <c r="A7" s="8">
        <v>46164</v>
      </c>
      <c r="B7" s="12" t="s">
        <v>98</v>
      </c>
      <c r="C7" s="9" t="s">
        <v>22</v>
      </c>
      <c r="D7" s="9" t="s">
        <v>23</v>
      </c>
      <c r="E7" s="9" t="str">
        <f>CONCATENATE(Table1_1[[#This Row],[Product Name]],", ",Table1_1[[#This Row],[Brand Name]])</f>
        <v>Backpack, North Face</v>
      </c>
      <c r="F7" s="14">
        <v>70</v>
      </c>
      <c r="G7" s="10">
        <f>IF(ISBLANK(Table1_1[[#This Row],[Price ($)]]),MEDIAN(Table1_1[Price ($)]),Table1_1[[#This Row],[Price ($)]])</f>
        <v>70</v>
      </c>
      <c r="H7" s="14">
        <v>20</v>
      </c>
      <c r="I7" s="11" t="str">
        <f>IF(Table1_1[[#This Row],[Product Name]]="Backpack","Accessories",IF(Table1_1[[#This Row],[Product Name]]="Sneakers","Fashion",IF(Table1_1[[#This Row],[Product Name]]="Coffee Maker","Kitchen",IF(Table1_1[[#This Row],[Product Name]]="Fitness Tracker","Electronics"))))</f>
        <v>Accessories</v>
      </c>
    </row>
    <row r="8" spans="1:12">
      <c r="A8" s="8">
        <v>46180</v>
      </c>
      <c r="B8" s="12" t="s">
        <v>99</v>
      </c>
      <c r="C8" s="9" t="s">
        <v>25</v>
      </c>
      <c r="D8" s="9" t="s">
        <v>26</v>
      </c>
      <c r="E8" s="9" t="str">
        <f>CONCATENATE(Table1_1[[#This Row],[Product Name]],", ",Table1_1[[#This Row],[Brand Name]])</f>
        <v>Headphones, Sony</v>
      </c>
      <c r="F8" s="14"/>
      <c r="G8" s="10">
        <f>IF(ISBLANK(Table1_1[[#This Row],[Price ($)]]),MEDIAN(Table1_1[Price ($)]),Table1_1[[#This Row],[Price ($)]])</f>
        <v>130</v>
      </c>
      <c r="H8" s="14">
        <v>45</v>
      </c>
      <c r="I8" s="11" t="s">
        <v>9</v>
      </c>
    </row>
    <row r="9" spans="1:12">
      <c r="A9" s="8">
        <v>46222</v>
      </c>
      <c r="B9" s="12" t="s">
        <v>99</v>
      </c>
      <c r="C9" s="9" t="s">
        <v>97</v>
      </c>
      <c r="D9" s="9" t="s">
        <v>30</v>
      </c>
      <c r="E9" s="9" t="str">
        <f>CONCATENATE(Table1_1[[#This Row],[Product Name]],", ",Table1_1[[#This Row],[Brand Name]])</f>
        <v>T-Shirt, Adidas</v>
      </c>
      <c r="F9" s="14">
        <v>30</v>
      </c>
      <c r="G9" s="10">
        <f>IF(ISBLANK(Table1_1[[#This Row],[Price ($)]]),MEDIAN(Table1_1[Price ($)]),Table1_1[[#This Row],[Price ($)]])</f>
        <v>30</v>
      </c>
      <c r="H9" s="14">
        <v>5</v>
      </c>
      <c r="I9" s="11" t="s">
        <v>13</v>
      </c>
    </row>
    <row r="10" spans="1:12">
      <c r="A10" s="8">
        <v>46257</v>
      </c>
      <c r="B10" s="12" t="s">
        <v>99</v>
      </c>
      <c r="C10" s="9" t="s">
        <v>32</v>
      </c>
      <c r="D10" s="9" t="s">
        <v>33</v>
      </c>
      <c r="E10" s="9" t="str">
        <f>CONCATENATE(Table1_1[[#This Row],[Product Name]],", ",Table1_1[[#This Row],[Brand Name]])</f>
        <v>Blender, Ninja</v>
      </c>
      <c r="F10" s="14">
        <v>90</v>
      </c>
      <c r="G10" s="10">
        <f>IF(ISBLANK(Table1_1[[#This Row],[Price ($)]]),MEDIAN(Table1_1[Price ($)]),Table1_1[[#This Row],[Price ($)]])</f>
        <v>90</v>
      </c>
      <c r="H10" s="14">
        <v>35</v>
      </c>
      <c r="I10" s="11" t="s">
        <v>17</v>
      </c>
    </row>
    <row r="11" spans="1:12">
      <c r="A11" s="8">
        <v>46270</v>
      </c>
      <c r="B11" s="12" t="s">
        <v>99</v>
      </c>
      <c r="C11" s="9" t="s">
        <v>35</v>
      </c>
      <c r="D11" s="9" t="s">
        <v>36</v>
      </c>
      <c r="E11" s="9" t="str">
        <f>CONCATENATE(Table1_1[[#This Row],[Product Name]],", ",Table1_1[[#This Row],[Brand Name]])</f>
        <v>Tablet, Apple</v>
      </c>
      <c r="F11" s="14">
        <v>500</v>
      </c>
      <c r="G11" s="10">
        <f>IF(ISBLANK(Table1_1[[#This Row],[Price ($)]]),MEDIAN(Table1_1[Price ($)]),Table1_1[[#This Row],[Price ($)]])</f>
        <v>500</v>
      </c>
      <c r="H11" s="14">
        <v>50</v>
      </c>
      <c r="I11" s="11" t="s">
        <v>9</v>
      </c>
    </row>
    <row r="12" spans="1:12">
      <c r="A12" s="8">
        <v>46309</v>
      </c>
      <c r="B12" s="12" t="s">
        <v>99</v>
      </c>
      <c r="C12" s="9" t="s">
        <v>38</v>
      </c>
      <c r="D12" s="9" t="s">
        <v>39</v>
      </c>
      <c r="E12" s="9" t="str">
        <f>CONCATENATE(Table1_1[[#This Row],[Product Name]],", ",Table1_1[[#This Row],[Brand Name]])</f>
        <v>Hiking Boots, Timberland</v>
      </c>
      <c r="F12" s="14">
        <v>130</v>
      </c>
      <c r="G12" s="10">
        <f>IF(ISBLANK(Table1_1[[#This Row],[Price ($)]]),MEDIAN(Table1_1[Price ($)]),Table1_1[[#This Row],[Price ($)]])</f>
        <v>130</v>
      </c>
      <c r="H12" s="14">
        <v>10</v>
      </c>
      <c r="I12" s="11" t="s">
        <v>40</v>
      </c>
    </row>
    <row r="13" spans="1:12">
      <c r="A13" s="8">
        <v>46190</v>
      </c>
      <c r="B13" s="12" t="s">
        <v>100</v>
      </c>
      <c r="C13" s="9" t="s">
        <v>42</v>
      </c>
      <c r="D13" s="9" t="s">
        <v>43</v>
      </c>
      <c r="E13" s="9" t="str">
        <f>CONCATENATE(Table1_1[[#This Row],[Product Name]],", ",Table1_1[[#This Row],[Brand Name]])</f>
        <v>Laptop, HP</v>
      </c>
      <c r="F13" s="14">
        <v>950</v>
      </c>
      <c r="G13" s="10">
        <f>IF(ISBLANK(Table1_1[[#This Row],[Price ($)]]),MEDIAN(Table1_1[Price ($)]),Table1_1[[#This Row],[Price ($)]])</f>
        <v>950</v>
      </c>
      <c r="H13" s="14">
        <v>25</v>
      </c>
      <c r="I13" s="11" t="s">
        <v>9</v>
      </c>
    </row>
    <row r="14" spans="1:12">
      <c r="A14" s="8">
        <v>46351</v>
      </c>
      <c r="B14" s="12" t="s">
        <v>101</v>
      </c>
      <c r="C14" s="9" t="s">
        <v>11</v>
      </c>
      <c r="D14" s="9" t="s">
        <v>30</v>
      </c>
      <c r="E14" s="9" t="str">
        <f>CONCATENATE(Table1_1[[#This Row],[Product Name]],", ",Table1_1[[#This Row],[Brand Name]])</f>
        <v>Sneakers, Adidas</v>
      </c>
      <c r="F14" s="14">
        <v>90</v>
      </c>
      <c r="G14" s="10">
        <f>IF(ISBLANK(Table1_1[[#This Row],[Price ($)]]),MEDIAN(Table1_1[Price ($)]),Table1_1[[#This Row],[Price ($)]])</f>
        <v>90</v>
      </c>
      <c r="H14" s="14">
        <v>40</v>
      </c>
      <c r="I14" s="11" t="str">
        <f>IF(Table1_1[[#This Row],[Product Name]]="Backpack","Accessories",IF(Table1_1[[#This Row],[Product Name]]="Sneakers","Fashion",IF(Table1_1[[#This Row],[Product Name]]="Coffee Maker","Kitchen",IF(Table1_1[[#This Row],[Product Name]]="Fitness Tracker","Electronics"))))</f>
        <v>Fashion</v>
      </c>
    </row>
    <row r="15" spans="1:12">
      <c r="A15" s="8">
        <v>46364</v>
      </c>
      <c r="B15" s="12" t="s">
        <v>102</v>
      </c>
      <c r="C15" s="9" t="s">
        <v>15</v>
      </c>
      <c r="D15" s="9" t="s">
        <v>46</v>
      </c>
      <c r="E15" s="9" t="str">
        <f>CONCATENATE(Table1_1[[#This Row],[Product Name]],", ",Table1_1[[#This Row],[Brand Name]])</f>
        <v>Coffee Maker, Nespresso</v>
      </c>
      <c r="F15" s="14">
        <v>120</v>
      </c>
      <c r="G15" s="10">
        <f>IF(ISBLANK(Table1_1[[#This Row],[Price ($)]]),MEDIAN(Table1_1[Price ($)]),Table1_1[[#This Row],[Price ($)]])</f>
        <v>120</v>
      </c>
      <c r="H15" s="14">
        <v>35</v>
      </c>
      <c r="I15" s="11" t="str">
        <f>IF(Table1_1[[#This Row],[Product Name]]="Backpack","Accessories",IF(Table1_1[[#This Row],[Product Name]]="Sneakers","Fashion",IF(Table1_1[[#This Row],[Product Name]]="Coffee Maker","Kitchen",IF(Table1_1[[#This Row],[Product Name]]="Fitness Tracker","Electronics"))))</f>
        <v>Kitchen</v>
      </c>
    </row>
    <row r="16" spans="1:12">
      <c r="A16" s="8">
        <v>46071</v>
      </c>
      <c r="B16" s="12" t="s">
        <v>103</v>
      </c>
      <c r="C16" s="9" t="s">
        <v>48</v>
      </c>
      <c r="D16" s="9" t="s">
        <v>49</v>
      </c>
      <c r="E16" s="9" t="str">
        <f>CONCATENATE(Table1_1[[#This Row],[Product Name]],", ",Table1_1[[#This Row],[Brand Name]])</f>
        <v>Smartwatch, Fitbit</v>
      </c>
      <c r="F16" s="14">
        <v>150</v>
      </c>
      <c r="G16" s="10">
        <f>IF(ISBLANK(Table1_1[[#This Row],[Price ($)]]),MEDIAN(Table1_1[Price ($)]),Table1_1[[#This Row],[Price ($)]])</f>
        <v>150</v>
      </c>
      <c r="H16" s="14">
        <v>15</v>
      </c>
      <c r="I16" s="11" t="s">
        <v>9</v>
      </c>
    </row>
    <row r="17" spans="1:9">
      <c r="A17" s="8">
        <v>46128</v>
      </c>
      <c r="B17" s="12" t="s">
        <v>104</v>
      </c>
      <c r="C17" s="9" t="s">
        <v>25</v>
      </c>
      <c r="D17" s="9" t="s">
        <v>52</v>
      </c>
      <c r="E17" s="9" t="str">
        <f>CONCATENATE(Table1_1[[#This Row],[Product Name]],", ",Table1_1[[#This Row],[Brand Name]])</f>
        <v>Headphones, Bose</v>
      </c>
      <c r="F17" s="14">
        <v>250</v>
      </c>
      <c r="G17" s="10">
        <f>IF(ISBLANK(Table1_1[[#This Row],[Price ($)]]),MEDIAN(Table1_1[Price ($)]),Table1_1[[#This Row],[Price ($)]])</f>
        <v>250</v>
      </c>
      <c r="H17" s="14">
        <v>20</v>
      </c>
      <c r="I17" s="11" t="s">
        <v>9</v>
      </c>
    </row>
    <row r="18" spans="1:9">
      <c r="A18" s="8">
        <v>46255</v>
      </c>
      <c r="B18" s="12" t="s">
        <v>103</v>
      </c>
      <c r="C18" s="9" t="s">
        <v>54</v>
      </c>
      <c r="D18" s="9" t="s">
        <v>55</v>
      </c>
      <c r="E18" s="9" t="str">
        <f>CONCATENATE(Table1_1[[#This Row],[Product Name]],", ",Table1_1[[#This Row],[Brand Name]])</f>
        <v>Laptop Bag, Samsonite</v>
      </c>
      <c r="F18" s="14">
        <v>50</v>
      </c>
      <c r="G18" s="10">
        <f>IF(ISBLANK(Table1_1[[#This Row],[Price ($)]]),MEDIAN(Table1_1[Price ($)]),Table1_1[[#This Row],[Price ($)]])</f>
        <v>50</v>
      </c>
      <c r="H18" s="14">
        <v>35</v>
      </c>
      <c r="I18" s="11" t="s">
        <v>56</v>
      </c>
    </row>
    <row r="19" spans="1:9">
      <c r="A19" s="8">
        <v>46254</v>
      </c>
      <c r="B19" s="12" t="s">
        <v>105</v>
      </c>
      <c r="C19" s="9" t="s">
        <v>48</v>
      </c>
      <c r="D19" s="9" t="s">
        <v>58</v>
      </c>
      <c r="E19" s="9" t="str">
        <f>CONCATENATE(Table1_1[[#This Row],[Product Name]],", ",Table1_1[[#This Row],[Brand Name]])</f>
        <v>Smartwatch, Huawei</v>
      </c>
      <c r="F19" s="14">
        <v>160</v>
      </c>
      <c r="G19" s="10">
        <f>IF(ISBLANK(Table1_1[[#This Row],[Price ($)]]),MEDIAN(Table1_1[Price ($)]),Table1_1[[#This Row],[Price ($)]])</f>
        <v>160</v>
      </c>
      <c r="H19" s="14">
        <v>15</v>
      </c>
      <c r="I19" s="11" t="s">
        <v>9</v>
      </c>
    </row>
    <row r="20" spans="1:9">
      <c r="A20" s="8">
        <v>46049</v>
      </c>
      <c r="B20" s="12" t="s">
        <v>106</v>
      </c>
      <c r="C20" s="9" t="s">
        <v>42</v>
      </c>
      <c r="D20" s="9" t="s">
        <v>60</v>
      </c>
      <c r="E20" s="9" t="str">
        <f>CONCATENATE(Table1_1[[#This Row],[Product Name]],", ",Table1_1[[#This Row],[Brand Name]])</f>
        <v>Laptop, Asus</v>
      </c>
      <c r="F20" s="14">
        <v>980</v>
      </c>
      <c r="G20" s="10">
        <f>IF(ISBLANK(Table1_1[[#This Row],[Price ($)]]),MEDIAN(Table1_1[Price ($)]),Table1_1[[#This Row],[Price ($)]])</f>
        <v>980</v>
      </c>
      <c r="H20" s="14">
        <v>10</v>
      </c>
      <c r="I20" s="11" t="s">
        <v>9</v>
      </c>
    </row>
    <row r="21" spans="1:9">
      <c r="A21" s="8">
        <v>46082</v>
      </c>
      <c r="B21" s="12" t="s">
        <v>99</v>
      </c>
      <c r="C21" s="9" t="s">
        <v>62</v>
      </c>
      <c r="D21" s="9" t="s">
        <v>63</v>
      </c>
      <c r="E21" s="9" t="str">
        <f>CONCATENATE(Table1_1[[#This Row],[Product Name]],", ",Table1_1[[#This Row],[Brand Name]])</f>
        <v>Sunglasses, Oakley</v>
      </c>
      <c r="F21" s="14">
        <v>150</v>
      </c>
      <c r="G21" s="10">
        <f>IF(ISBLANK(Table1_1[[#This Row],[Price ($)]]),MEDIAN(Table1_1[Price ($)]),Table1_1[[#This Row],[Price ($)]])</f>
        <v>150</v>
      </c>
      <c r="H21" s="14">
        <v>15</v>
      </c>
      <c r="I21" s="11" t="s">
        <v>13</v>
      </c>
    </row>
    <row r="22" spans="1:9">
      <c r="A22" s="8">
        <v>46248</v>
      </c>
      <c r="B22" s="12" t="s">
        <v>98</v>
      </c>
      <c r="C22" s="9" t="s">
        <v>65</v>
      </c>
      <c r="D22" s="9" t="s">
        <v>66</v>
      </c>
      <c r="E22" s="9" t="str">
        <f>CONCATENATE(Table1_1[[#This Row],[Product Name]],", ",Table1_1[[#This Row],[Brand Name]])</f>
        <v>Camping Tent, Coleman</v>
      </c>
      <c r="F22" s="14"/>
      <c r="G22" s="10">
        <f>IF(ISBLANK(Table1_1[[#This Row],[Price ($)]]),MEDIAN(Table1_1[Price ($)]),Table1_1[[#This Row],[Price ($)]])</f>
        <v>130</v>
      </c>
      <c r="H22" s="14">
        <v>10</v>
      </c>
      <c r="I22" s="11" t="s">
        <v>40</v>
      </c>
    </row>
    <row r="23" spans="1:9">
      <c r="A23" s="8">
        <v>46156</v>
      </c>
      <c r="B23" s="12" t="s">
        <v>107</v>
      </c>
      <c r="C23" s="9" t="s">
        <v>68</v>
      </c>
      <c r="D23" s="9" t="s">
        <v>69</v>
      </c>
      <c r="E23" s="9" t="str">
        <f>CONCATENATE(Table1_1[[#This Row],[Product Name]],", ",Table1_1[[#This Row],[Brand Name]])</f>
        <v>Camera, Nikon</v>
      </c>
      <c r="F23" s="14">
        <v>700</v>
      </c>
      <c r="G23" s="10">
        <f>IF(ISBLANK(Table1_1[[#This Row],[Price ($)]]),MEDIAN(Table1_1[Price ($)]),Table1_1[[#This Row],[Price ($)]])</f>
        <v>700</v>
      </c>
      <c r="H23" s="14">
        <v>50</v>
      </c>
      <c r="I23" s="11" t="s">
        <v>9</v>
      </c>
    </row>
    <row r="24" spans="1:9">
      <c r="A24" s="8">
        <v>46031</v>
      </c>
      <c r="B24" s="12" t="s">
        <v>103</v>
      </c>
      <c r="C24" s="9" t="s">
        <v>71</v>
      </c>
      <c r="D24" s="9" t="s">
        <v>72</v>
      </c>
      <c r="E24" s="9" t="str">
        <f>CONCATENATE(Table1_1[[#This Row],[Product Name]],", ",Table1_1[[#This Row],[Brand Name]])</f>
        <v>Microwave, Panasonic</v>
      </c>
      <c r="F24" s="14">
        <v>80</v>
      </c>
      <c r="G24" s="10">
        <f>IF(ISBLANK(Table1_1[[#This Row],[Price ($)]]),MEDIAN(Table1_1[Price ($)]),Table1_1[[#This Row],[Price ($)]])</f>
        <v>80</v>
      </c>
      <c r="H24" s="14">
        <v>20</v>
      </c>
      <c r="I24" s="11" t="s">
        <v>17</v>
      </c>
    </row>
    <row r="25" spans="1:9">
      <c r="A25" s="8">
        <v>46222</v>
      </c>
      <c r="B25" s="12" t="s">
        <v>108</v>
      </c>
      <c r="C25" s="9" t="s">
        <v>74</v>
      </c>
      <c r="D25" s="9" t="s">
        <v>75</v>
      </c>
      <c r="E25" s="9" t="str">
        <f>CONCATENATE(Table1_1[[#This Row],[Product Name]],", ",Table1_1[[#This Row],[Brand Name]])</f>
        <v>Fitness Tracker, Xiaomi</v>
      </c>
      <c r="F25" s="14">
        <v>150</v>
      </c>
      <c r="G25" s="10">
        <f>IF(ISBLANK(Table1_1[[#This Row],[Price ($)]]),MEDIAN(Table1_1[Price ($)]),Table1_1[[#This Row],[Price ($)]])</f>
        <v>150</v>
      </c>
      <c r="H25" s="14">
        <v>30</v>
      </c>
      <c r="I25" s="11" t="str">
        <f>IF(Table1_1[[#This Row],[Product Name]]="Backpack","Accessories",IF(Table1_1[[#This Row],[Product Name]]="Sneakers","Fashion",IF(Table1_1[[#This Row],[Product Name]]="Coffee Maker","Kitchen",IF(Table1_1[[#This Row],[Product Name]]="Fitness Tracker","Electronics"))))</f>
        <v>Electronics</v>
      </c>
    </row>
    <row r="26" spans="1:9">
      <c r="A26" s="8">
        <v>46294</v>
      </c>
      <c r="B26" s="12" t="s">
        <v>103</v>
      </c>
      <c r="C26" s="9" t="s">
        <v>77</v>
      </c>
      <c r="D26" s="9" t="s">
        <v>78</v>
      </c>
      <c r="E26" s="9" t="str">
        <f>CONCATENATE(Table1_1[[#This Row],[Product Name]],", ",Table1_1[[#This Row],[Brand Name]])</f>
        <v>Smartphone, Google</v>
      </c>
      <c r="F26" s="14">
        <v>800</v>
      </c>
      <c r="G26" s="10">
        <f>IF(ISBLANK(Table1_1[[#This Row],[Price ($)]]),MEDIAN(Table1_1[Price ($)]),Table1_1[[#This Row],[Price ($)]])</f>
        <v>800</v>
      </c>
      <c r="H26" s="14">
        <v>45</v>
      </c>
      <c r="I26" s="11" t="s">
        <v>9</v>
      </c>
    </row>
    <row r="27" spans="1:9">
      <c r="A27" s="8">
        <v>46176</v>
      </c>
      <c r="B27" s="12" t="s">
        <v>103</v>
      </c>
      <c r="C27" s="9" t="s">
        <v>62</v>
      </c>
      <c r="D27" s="9" t="s">
        <v>80</v>
      </c>
      <c r="E27" s="9" t="str">
        <f>CONCATENATE(Table1_1[[#This Row],[Product Name]],", ",Table1_1[[#This Row],[Brand Name]])</f>
        <v>Sunglasses, Ray-Ban</v>
      </c>
      <c r="F27" s="14"/>
      <c r="G27" s="10">
        <f>IF(ISBLANK(Table1_1[[#This Row],[Price ($)]]),MEDIAN(Table1_1[Price ($)]),Table1_1[[#This Row],[Price ($)]])</f>
        <v>130</v>
      </c>
      <c r="H27" s="14">
        <v>25</v>
      </c>
      <c r="I27" s="11" t="s">
        <v>13</v>
      </c>
    </row>
    <row r="28" spans="1:9">
      <c r="A28" s="8">
        <v>46214</v>
      </c>
      <c r="B28" s="12" t="s">
        <v>103</v>
      </c>
      <c r="C28" s="9" t="s">
        <v>32</v>
      </c>
      <c r="D28" s="9" t="s">
        <v>82</v>
      </c>
      <c r="E28" s="9" t="str">
        <f>CONCATENATE(Table1_1[[#This Row],[Product Name]],", ",Table1_1[[#This Row],[Brand Name]])</f>
        <v>Blender, Vitamix</v>
      </c>
      <c r="F28" s="14">
        <v>400</v>
      </c>
      <c r="G28" s="10">
        <f>IF(ISBLANK(Table1_1[[#This Row],[Price ($)]]),MEDIAN(Table1_1[Price ($)]),Table1_1[[#This Row],[Price ($)]])</f>
        <v>400</v>
      </c>
      <c r="H28" s="14">
        <v>40</v>
      </c>
      <c r="I28" s="11" t="s">
        <v>17</v>
      </c>
    </row>
    <row r="29" spans="1:9">
      <c r="A29" s="8">
        <v>46088</v>
      </c>
      <c r="B29" s="12" t="s">
        <v>103</v>
      </c>
      <c r="C29" s="9" t="s">
        <v>84</v>
      </c>
      <c r="D29" s="9" t="s">
        <v>85</v>
      </c>
      <c r="E29" s="9" t="str">
        <f>CONCATENATE(Table1_1[[#This Row],[Product Name]],", ",Table1_1[[#This Row],[Brand Name]])</f>
        <v>Dress, Zara</v>
      </c>
      <c r="F29" s="14">
        <v>60</v>
      </c>
      <c r="G29" s="10">
        <f>IF(ISBLANK(Table1_1[[#This Row],[Price ($)]]),MEDIAN(Table1_1[Price ($)]),Table1_1[[#This Row],[Price ($)]])</f>
        <v>60</v>
      </c>
      <c r="H29" s="14">
        <v>30</v>
      </c>
      <c r="I29" s="11" t="s">
        <v>13</v>
      </c>
    </row>
    <row r="30" spans="1:9">
      <c r="A30" s="8">
        <v>46125</v>
      </c>
      <c r="B30" s="12" t="s">
        <v>103</v>
      </c>
      <c r="C30" s="9" t="s">
        <v>87</v>
      </c>
      <c r="D30" s="9" t="s">
        <v>88</v>
      </c>
      <c r="E30" s="9" t="str">
        <f>CONCATENATE(Table1_1[[#This Row],[Product Name]],", ",Table1_1[[#This Row],[Brand Name]])</f>
        <v>Toaster, Hamilton</v>
      </c>
      <c r="F30" s="14">
        <v>40</v>
      </c>
      <c r="G30" s="10">
        <f>IF(ISBLANK(Table1_1[[#This Row],[Price ($)]]),MEDIAN(Table1_1[Price ($)]),Table1_1[[#This Row],[Price ($)]])</f>
        <v>40</v>
      </c>
      <c r="H30" s="14">
        <v>10</v>
      </c>
      <c r="I30" s="11" t="s">
        <v>17</v>
      </c>
    </row>
    <row r="31" spans="1:9">
      <c r="A31" s="8">
        <v>46166</v>
      </c>
      <c r="B31" s="12" t="s">
        <v>103</v>
      </c>
      <c r="C31" s="9" t="s">
        <v>74</v>
      </c>
      <c r="D31" s="9" t="s">
        <v>90</v>
      </c>
      <c r="E31" s="9" t="str">
        <f>CONCATENATE(Table1_1[[#This Row],[Product Name]],", ",Table1_1[[#This Row],[Brand Name]])</f>
        <v>Fitness Tracker, Garmin</v>
      </c>
      <c r="F31" s="14">
        <v>130</v>
      </c>
      <c r="G31" s="10">
        <f>IF(ISBLANK(Table1_1[[#This Row],[Price ($)]]),MEDIAN(Table1_1[Price ($)]),Table1_1[[#This Row],[Price ($)]])</f>
        <v>130</v>
      </c>
      <c r="H31" s="14">
        <v>5</v>
      </c>
      <c r="I31" s="11" t="s">
        <v>9</v>
      </c>
    </row>
    <row r="32" spans="1:9">
      <c r="A32" s="8">
        <v>46358</v>
      </c>
      <c r="B32" s="12" t="s">
        <v>103</v>
      </c>
      <c r="C32" s="9" t="s">
        <v>92</v>
      </c>
      <c r="D32" s="9" t="s">
        <v>93</v>
      </c>
      <c r="E32" s="9" t="str">
        <f>CONCATENATE(Table1_1[[#This Row],[Product Name]],", ",Table1_1[[#This Row],[Brand Name]])</f>
        <v>Jeans, Levi's</v>
      </c>
      <c r="F32" s="14">
        <v>50</v>
      </c>
      <c r="G32" s="10">
        <f>IF(ISBLANK(Table1_1[[#This Row],[Price ($)]]),MEDIAN(Table1_1[Price ($)]),Table1_1[[#This Row],[Price ($)]])</f>
        <v>50</v>
      </c>
      <c r="H32" s="14">
        <v>50</v>
      </c>
      <c r="I32" s="11" t="s">
        <v>13</v>
      </c>
    </row>
    <row r="33" spans="1:9">
      <c r="A33" s="23">
        <v>46212</v>
      </c>
      <c r="B33" s="24" t="s">
        <v>109</v>
      </c>
      <c r="C33" s="25" t="s">
        <v>95</v>
      </c>
      <c r="D33" s="25" t="s">
        <v>96</v>
      </c>
      <c r="E33" s="25" t="str">
        <f>CONCATENATE(Table1_1[[#This Row],[Product Name]],", ",Table1_1[[#This Row],[Brand Name]])</f>
        <v>Watch, Casio</v>
      </c>
      <c r="F33" s="26">
        <v>100</v>
      </c>
      <c r="G33" s="27">
        <f>IF(ISBLANK(Table1_1[[#This Row],[Price ($)]]),MEDIAN(Table1_1[Price ($)]),Table1_1[[#This Row],[Price ($)]])</f>
        <v>100</v>
      </c>
      <c r="H33" s="26">
        <v>20</v>
      </c>
      <c r="I33" s="28" t="s">
        <v>56</v>
      </c>
    </row>
    <row r="34" spans="1:9">
      <c r="A34" s="6"/>
      <c r="G34" s="6"/>
    </row>
    <row r="35" spans="1:9">
      <c r="A35" s="6"/>
      <c r="G35" s="6"/>
    </row>
    <row r="36" spans="1:9">
      <c r="A36" s="6"/>
      <c r="G36" s="6"/>
    </row>
  </sheetData>
  <mergeCells count="1">
    <mergeCell ref="A1:I1"/>
  </mergeCells>
  <conditionalFormatting sqref="G2:G33 G37:G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{854513C2-6C69-4CBF-9407-E6AEC1DFA477}</x14:id>
        </ext>
      </extLst>
    </cfRule>
  </conditionalFormatting>
  <conditionalFormatting sqref="I1:I1048576">
    <cfRule type="cellIs" priority="2" operator="between">
      <formula>"Electronics"</formula>
      <formula>"Electronics"</formula>
    </cfRule>
  </conditionalFormatting>
  <conditionalFormatting sqref="I2:I33">
    <cfRule type="containsText" dxfId="14" priority="1" operator="containsText" text="Electronics">
      <formula>NOT(ISERROR(SEARCH("Electronics",I2)))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4513C2-6C69-4CBF-9407-E6AEC1DFA4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G2:G33 G37:G1048576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3E4231-4858-4159-8E8D-9268B7550B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Assignment 2 Data 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 mathi</dc:creator>
  <cp:lastModifiedBy>indhu mathi</cp:lastModifiedBy>
  <dcterms:created xsi:type="dcterms:W3CDTF">2026-07-23T14:43:37Z</dcterms:created>
  <dcterms:modified xsi:type="dcterms:W3CDTF">2026-07-26T18:52:18Z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